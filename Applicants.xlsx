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filterPrivacy="1" codeName="ThisWorkbook" defaultThemeVersion="124226"/>
  <xr:revisionPtr revIDLastSave="0" documentId="13_ncr:1_{6ED6C8DC-73A3-2442-926C-7B2625D773DE}" xr6:coauthVersionLast="47" xr6:coauthVersionMax="47" xr10:uidLastSave="{00000000-0000-0000-0000-000000000000}"/>
  <bookViews>
    <workbookView xWindow="4420" yWindow="660" windowWidth="24980" windowHeight="18460" tabRatio="947" xr2:uid="{00000000-000D-0000-FFFF-FFFF00000000}"/>
  </bookViews>
  <sheets>
    <sheet name="1st Class certificate" sheetId="16" r:id="rId1"/>
    <sheet name="1st class data" sheetId="17" r:id="rId2"/>
  </sheets>
  <definedNames>
    <definedName name="_xlnm._FilterDatabase" localSheetId="1" hidden="1">'1st class data'!$A$1:$Z$13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6" l="1"/>
  <c r="N40" i="16" l="1"/>
  <c r="M19" i="16" l="1"/>
  <c r="N42" i="16" l="1"/>
  <c r="N18" i="16" l="1"/>
  <c r="O38" i="16"/>
  <c r="O39" i="16"/>
  <c r="O44" i="16"/>
  <c r="O45" i="16"/>
  <c r="J47" i="16"/>
  <c r="E19" i="16" l="1"/>
</calcChain>
</file>

<file path=xl/sharedStrings.xml><?xml version="1.0" encoding="utf-8"?>
<sst xmlns="http://schemas.openxmlformats.org/spreadsheetml/2006/main" count="173" uniqueCount="86">
  <si>
    <t>FIRST CLASS BOILER ATTENDANT CERTIFICATE OF COMPETENCY</t>
  </si>
  <si>
    <t>No</t>
  </si>
  <si>
    <t>of</t>
  </si>
  <si>
    <t>(Granted under Rule 41 of the Boiler Attendants' Rules, 2011)</t>
  </si>
  <si>
    <t>years, at present residing at</t>
  </si>
  <si>
    <t>Board of Examiners.</t>
  </si>
  <si>
    <t>Nationality:</t>
  </si>
  <si>
    <t>Marks of Identification:</t>
  </si>
  <si>
    <t>Left thumb-Impression:</t>
  </si>
  <si>
    <t>S/O.</t>
  </si>
  <si>
    <t>1.</t>
  </si>
  <si>
    <t>3.</t>
  </si>
  <si>
    <t>4.</t>
  </si>
  <si>
    <t>5.</t>
  </si>
  <si>
    <t>6.</t>
  </si>
  <si>
    <t>Permanent Address:</t>
  </si>
  <si>
    <t>Height (without shoes):</t>
  </si>
  <si>
    <t xml:space="preserve"> Chairman,</t>
  </si>
  <si>
    <t>aged about</t>
  </si>
  <si>
    <t>Shri</t>
  </si>
  <si>
    <t>GOVERNMENT OF ANDHRA PRADESH</t>
  </si>
  <si>
    <t>FORM B</t>
  </si>
  <si>
    <t>(Refer rule 41)</t>
  </si>
  <si>
    <t xml:space="preserve">        Secretary,</t>
  </si>
  <si>
    <t>DESCRIPTION ROLL</t>
  </si>
  <si>
    <t>i)</t>
  </si>
  <si>
    <t>ii)</t>
  </si>
  <si>
    <t>7.</t>
  </si>
  <si>
    <t>Signature of applicant :</t>
  </si>
  <si>
    <t>Sl.No</t>
  </si>
  <si>
    <t>Application id</t>
  </si>
  <si>
    <t>Name of the applicant</t>
  </si>
  <si>
    <t>Father Name</t>
  </si>
  <si>
    <t>Mobile No</t>
  </si>
  <si>
    <t>Date of birth</t>
  </si>
  <si>
    <t>Age</t>
  </si>
  <si>
    <t>place of birth</t>
  </si>
  <si>
    <t>Nationality</t>
  </si>
  <si>
    <t>Marks of identification 1</t>
  </si>
  <si>
    <t>Marks of identification 2</t>
  </si>
  <si>
    <t>Dated at Vijayawada this _______ day of _______________ 2024</t>
  </si>
  <si>
    <t>Date and place of birth:</t>
  </si>
  <si>
    <t>CMS</t>
  </si>
  <si>
    <t>having satisfied the</t>
  </si>
  <si>
    <t>Address</t>
  </si>
  <si>
    <t>Part 1</t>
  </si>
  <si>
    <t>Part 2</t>
  </si>
  <si>
    <t>INDIAN</t>
  </si>
  <si>
    <t>Work in State</t>
  </si>
  <si>
    <t>ANDHRA PRADESH</t>
  </si>
  <si>
    <t>Height</t>
  </si>
  <si>
    <t>A MOLE ON THE LEFT WRIST.</t>
  </si>
  <si>
    <t>A MOLE ON THE RIGHT TORE.</t>
  </si>
  <si>
    <t>Class of Certificate</t>
  </si>
  <si>
    <t>Challan No</t>
  </si>
  <si>
    <t>Date</t>
  </si>
  <si>
    <t>Amount</t>
  </si>
  <si>
    <t>Payment Status</t>
  </si>
  <si>
    <t>File No</t>
  </si>
  <si>
    <t>Status</t>
  </si>
  <si>
    <t>Reason</t>
  </si>
  <si>
    <t>Date of Exam</t>
  </si>
  <si>
    <t>RESULT</t>
  </si>
  <si>
    <t>I</t>
  </si>
  <si>
    <t>SUCCESS</t>
  </si>
  <si>
    <t>B3/4116/2021</t>
  </si>
  <si>
    <t>ADMITTED</t>
  </si>
  <si>
    <t>B3/4118/2021</t>
  </si>
  <si>
    <t>Present Residing at</t>
  </si>
  <si>
    <t>Board of Examiners of his competency to fulfill the duties of First Class Boiler Attendant, is granted under the Boiler Attendants' Rules, 2011, this certificate of competency as a First Class Boiler Attendant authorizing him to  have charge of a single boiler with steam pipes of any type or  capacity or  two or more  boilers with  steam  pipes  in a   battery  or   separated,  the  total heating  surface of  which does  not exceed 1000  square  meters, provided that such  boilers  shall be situated within a radius of 30 meters in the same premises and belong to one owner.</t>
  </si>
  <si>
    <t>A MOLE ON THE LEFT RING FINGER.</t>
  </si>
  <si>
    <t>A MOLE NEAR THE NOSE.</t>
  </si>
  <si>
    <t>18.06.2024</t>
  </si>
  <si>
    <t>Hyderabad</t>
  </si>
  <si>
    <t>Vijayawda</t>
  </si>
  <si>
    <t>Visakhapatnam</t>
  </si>
  <si>
    <t>Rajahmundry</t>
  </si>
  <si>
    <t>Ramu</t>
  </si>
  <si>
    <t xml:space="preserve">Rama </t>
  </si>
  <si>
    <t>Krishna</t>
  </si>
  <si>
    <t>Raghu</t>
  </si>
  <si>
    <t>Hari</t>
  </si>
  <si>
    <t>Raju</t>
  </si>
  <si>
    <t>King</t>
  </si>
  <si>
    <t>krishna</t>
  </si>
  <si>
    <t>Vijayawada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</si>
</sst>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dd\/mm\/yyyy"/>
    <numFmt numFmtId="166" formatCode="[$-409]d/mmm/yyyy;@"/>
  </numFmts>
  <fonts count="21" x14ac:knownFonts="1">
    <font>
      <sz val="11"/>
      <color theme="1"/>
      <name val="Calibri"/>
      <family val="2"/>
      <scheme val="minor"/>
    </font>
    <font>
      <sz val="14"/>
      <color theme="1"/>
      <name val="Bookman Old Style"/>
      <family val="1"/>
    </font>
    <font>
      <b/>
      <sz val="8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theme="0"/>
      <name val="Bookman Old Style"/>
      <family val="1"/>
    </font>
    <font>
      <b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3"/>
      <color theme="1"/>
      <name val="Bookman Old Style"/>
      <family val="1"/>
    </font>
    <font>
      <b/>
      <i/>
      <sz val="12"/>
      <color theme="1"/>
      <name val="Bookman Old Style"/>
      <family val="1"/>
    </font>
    <font>
      <b/>
      <i/>
      <sz val="14"/>
      <color theme="1"/>
      <name val="Bookman Old Style"/>
      <family val="1"/>
    </font>
    <font>
      <i/>
      <sz val="11"/>
      <color theme="1"/>
      <name val="Bookman Old Style"/>
      <family val="1"/>
    </font>
    <font>
      <b/>
      <i/>
      <u/>
      <sz val="11"/>
      <color theme="1"/>
      <name val="Bookman Old Style"/>
      <family val="1"/>
    </font>
    <font>
      <u/>
      <sz val="12"/>
      <color theme="1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sz val="12"/>
      <name val="Calibri"/>
      <family val="2"/>
      <scheme val="minor"/>
    </font>
    <font>
      <sz val="12"/>
      <color indexed="8"/>
      <name val="Bookman Old Style"/>
      <family val="1"/>
    </font>
    <font>
      <sz val="12"/>
      <color theme="1"/>
      <name val="Calibri"/>
      <family val="2"/>
      <scheme val="minor"/>
    </font>
    <font>
      <b/>
      <sz val="13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 applyProtection="1">
      <protection hidden="1"/>
    </xf>
    <xf numFmtId="165" fontId="3" fillId="0" borderId="0" xfId="0" applyNumberFormat="1" applyFont="1" applyProtection="1">
      <protection hidden="1"/>
    </xf>
    <xf numFmtId="1" fontId="3" fillId="0" borderId="0" xfId="0" applyNumberFormat="1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right"/>
      <protection hidden="1"/>
    </xf>
    <xf numFmtId="0" fontId="6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hidden="1"/>
    </xf>
    <xf numFmtId="0" fontId="8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8" fillId="0" borderId="0" xfId="0" applyFont="1" applyAlignment="1" applyProtection="1">
      <alignment horizontal="left"/>
      <protection hidden="1"/>
    </xf>
    <xf numFmtId="1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" fontId="8" fillId="0" borderId="0" xfId="0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49" fontId="8" fillId="0" borderId="0" xfId="0" applyNumberFormat="1" applyFont="1" applyAlignment="1" applyProtection="1">
      <alignment horizontal="right"/>
      <protection hidden="1"/>
    </xf>
    <xf numFmtId="0" fontId="8" fillId="0" borderId="0" xfId="0" applyFont="1" applyAlignment="1" applyProtection="1">
      <alignment vertical="distributed" wrapText="1"/>
      <protection hidden="1"/>
    </xf>
    <xf numFmtId="49" fontId="8" fillId="0" borderId="0" xfId="0" applyNumberFormat="1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164" fontId="5" fillId="0" borderId="0" xfId="0" applyNumberFormat="1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5" fillId="0" borderId="2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horizontal="center"/>
      <protection hidden="1"/>
    </xf>
    <xf numFmtId="1" fontId="9" fillId="0" borderId="0" xfId="0" applyNumberFormat="1" applyFont="1" applyProtection="1">
      <protection hidden="1"/>
    </xf>
    <xf numFmtId="0" fontId="1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wrapText="1"/>
    </xf>
    <xf numFmtId="0" fontId="17" fillId="0" borderId="5" xfId="0" applyFont="1" applyBorder="1" applyAlignment="1">
      <alignment horizontal="left" vertical="top"/>
    </xf>
    <xf numFmtId="1" fontId="17" fillId="0" borderId="5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top" wrapText="1"/>
    </xf>
    <xf numFmtId="166" fontId="8" fillId="0" borderId="0" xfId="0" applyNumberFormat="1" applyFont="1"/>
    <xf numFmtId="1" fontId="8" fillId="0" borderId="0" xfId="0" applyNumberFormat="1" applyFont="1"/>
    <xf numFmtId="0" fontId="1" fillId="0" borderId="0" xfId="0" applyFont="1" applyAlignment="1" applyProtection="1">
      <alignment horizontal="center" vertical="top"/>
      <protection hidden="1"/>
    </xf>
    <xf numFmtId="1" fontId="20" fillId="0" borderId="1" xfId="0" applyNumberFormat="1" applyFont="1" applyBorder="1" applyAlignment="1" applyProtection="1">
      <alignment horizontal="center"/>
      <protection hidden="1"/>
    </xf>
    <xf numFmtId="0" fontId="15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  <xf numFmtId="1" fontId="5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66" fontId="5" fillId="2" borderId="5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1" fontId="16" fillId="2" borderId="5" xfId="0" applyNumberFormat="1" applyFont="1" applyFill="1" applyBorder="1" applyAlignment="1">
      <alignment horizontal="center" vertical="center" wrapText="1"/>
    </xf>
    <xf numFmtId="14" fontId="16" fillId="2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vertical="center" textRotation="90" shrinkToFit="1"/>
      <protection hidden="1"/>
    </xf>
    <xf numFmtId="0" fontId="2" fillId="0" borderId="0" xfId="0" applyFont="1" applyAlignment="1" applyProtection="1">
      <alignment vertical="center" textRotation="180" shrinkToFit="1"/>
      <protection hidden="1"/>
    </xf>
    <xf numFmtId="0" fontId="10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20" fillId="0" borderId="1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right" vertical="center"/>
      <protection hidden="1"/>
    </xf>
    <xf numFmtId="1" fontId="3" fillId="0" borderId="0" xfId="0" applyNumberFormat="1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" fontId="3" fillId="0" borderId="5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4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hidden="1"/>
    </xf>
    <xf numFmtId="0" fontId="12" fillId="0" borderId="0" xfId="0" applyFont="1"/>
    <xf numFmtId="0" fontId="9" fillId="0" borderId="0" xfId="0" applyFont="1" applyAlignment="1" applyProtection="1">
      <alignment horizontal="right"/>
      <protection hidden="1"/>
    </xf>
    <xf numFmtId="0" fontId="9" fillId="0" borderId="0" xfId="0" applyFont="1" applyAlignment="1" applyProtection="1">
      <alignment horizontal="justify" vertical="top" wrapText="1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left" vertical="center" wrapText="1"/>
      <protection hidden="1"/>
    </xf>
    <xf numFmtId="164" fontId="5" fillId="0" borderId="2" xfId="0" applyNumberFormat="1" applyFont="1" applyBorder="1" applyAlignment="1" applyProtection="1">
      <alignment horizontal="left" vertical="center" wrapText="1"/>
      <protection hidden="1"/>
    </xf>
    <xf numFmtId="164" fontId="5" fillId="0" borderId="1" xfId="0" applyNumberFormat="1" applyFont="1" applyBorder="1" applyAlignment="1" applyProtection="1">
      <alignment horizontal="left" vertical="center" wrapText="1"/>
      <protection hidden="1"/>
    </xf>
    <xf numFmtId="0" fontId="9" fillId="0" borderId="2" xfId="0" applyFont="1" applyBorder="1" applyProtection="1"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left" vertical="center"/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164" fontId="5" fillId="0" borderId="3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59"/>
  <sheetViews>
    <sheetView showGridLines="0" tabSelected="1" topLeftCell="A6" zoomScale="60" zoomScaleNormal="90" workbookViewId="0">
      <selection activeCell="AF24" sqref="AF24"/>
    </sheetView>
  </sheetViews>
  <sheetFormatPr baseColWidth="10" defaultColWidth="9.1640625" defaultRowHeight="15" x14ac:dyDescent="0.2"/>
  <cols>
    <col min="1" max="1" width="2.6640625" style="1" customWidth="1"/>
    <col min="2" max="2" width="1.6640625" style="1" customWidth="1"/>
    <col min="3" max="3" width="7.6640625" style="1" customWidth="1"/>
    <col min="4" max="4" width="7.5" style="3" customWidth="1"/>
    <col min="5" max="7" width="6.6640625" style="1" customWidth="1"/>
    <col min="8" max="8" width="4.5" style="1" customWidth="1"/>
    <col min="9" max="9" width="5.5" style="1" customWidth="1"/>
    <col min="10" max="10" width="6" style="1" customWidth="1"/>
    <col min="11" max="11" width="3.5" style="1" customWidth="1"/>
    <col min="12" max="12" width="6.33203125" style="1" customWidth="1"/>
    <col min="13" max="14" width="8.33203125" style="1" customWidth="1"/>
    <col min="15" max="15" width="4.5" style="1" customWidth="1"/>
    <col min="16" max="17" width="4.6640625" style="1" customWidth="1"/>
    <col min="18" max="20" width="6" style="1" customWidth="1"/>
    <col min="21" max="21" width="7" style="1" customWidth="1"/>
    <col min="22" max="23" width="2.6640625" style="1" customWidth="1"/>
    <col min="24" max="24" width="9.1640625" style="1"/>
    <col min="25" max="25" width="14.83203125" style="2" bestFit="1" customWidth="1"/>
    <col min="26" max="16384" width="9.1640625" style="1"/>
  </cols>
  <sheetData>
    <row r="2" spans="1:23" ht="15" customHeight="1" x14ac:dyDescent="0.2">
      <c r="A2" s="53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53"/>
    </row>
    <row r="3" spans="1:23" ht="15" customHeight="1" x14ac:dyDescent="0.2">
      <c r="A3" s="78"/>
      <c r="W3" s="79"/>
    </row>
    <row r="4" spans="1:23" x14ac:dyDescent="0.2">
      <c r="A4" s="7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W4" s="79"/>
    </row>
    <row r="5" spans="1:23" ht="20.25" customHeight="1" x14ac:dyDescent="0.2">
      <c r="A5" s="78"/>
      <c r="N5" s="4"/>
      <c r="W5" s="79"/>
    </row>
    <row r="6" spans="1:23" ht="20.25" customHeight="1" x14ac:dyDescent="0.2">
      <c r="A6" s="78"/>
      <c r="N6" s="4"/>
      <c r="W6" s="79"/>
    </row>
    <row r="7" spans="1:23" ht="20.25" customHeight="1" x14ac:dyDescent="0.2">
      <c r="A7" s="78"/>
      <c r="N7" s="4"/>
      <c r="W7" s="79"/>
    </row>
    <row r="8" spans="1:23" ht="20.25" customHeight="1" x14ac:dyDescent="0.2">
      <c r="A8" s="78"/>
      <c r="N8" s="4"/>
      <c r="W8" s="79"/>
    </row>
    <row r="9" spans="1:23" ht="20.25" customHeight="1" x14ac:dyDescent="0.2">
      <c r="A9" s="78"/>
      <c r="N9" s="4"/>
      <c r="W9" s="79"/>
    </row>
    <row r="10" spans="1:23" ht="20.25" customHeight="1" x14ac:dyDescent="0.2">
      <c r="A10" s="78"/>
      <c r="C10" s="82" t="s">
        <v>20</v>
      </c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W10" s="79"/>
    </row>
    <row r="11" spans="1:23" ht="20.25" customHeight="1" x14ac:dyDescent="0.2">
      <c r="A11" s="78"/>
      <c r="C11" s="83" t="s">
        <v>21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W11" s="79"/>
    </row>
    <row r="12" spans="1:23" ht="16" x14ac:dyDescent="0.2">
      <c r="A12" s="78"/>
      <c r="C12" s="80" t="s">
        <v>22</v>
      </c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W12" s="79"/>
    </row>
    <row r="13" spans="1:23" ht="22.5" customHeight="1" x14ac:dyDescent="0.2">
      <c r="A13" s="78"/>
      <c r="C13" s="82" t="s">
        <v>0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W13" s="79"/>
    </row>
    <row r="14" spans="1:23" ht="16" x14ac:dyDescent="0.2">
      <c r="A14" s="78"/>
      <c r="C14" s="81" t="s">
        <v>3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W14" s="79"/>
    </row>
    <row r="15" spans="1:23" x14ac:dyDescent="0.2">
      <c r="A15" s="78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W15" s="79"/>
    </row>
    <row r="16" spans="1:23" ht="18" x14ac:dyDescent="0.2">
      <c r="A16" s="78"/>
      <c r="C16" s="4"/>
      <c r="D16" s="5"/>
      <c r="E16" s="4"/>
      <c r="F16" s="4"/>
      <c r="G16" s="4"/>
      <c r="H16" s="4"/>
      <c r="I16" s="4"/>
      <c r="J16" s="4"/>
      <c r="K16" s="4"/>
      <c r="L16" s="8"/>
      <c r="M16" s="8"/>
      <c r="N16" s="27"/>
      <c r="O16" s="8"/>
      <c r="P16" s="26" t="s">
        <v>1</v>
      </c>
      <c r="Q16" s="100">
        <v>100</v>
      </c>
      <c r="R16" s="100"/>
      <c r="S16" s="26" t="s">
        <v>2</v>
      </c>
      <c r="T16" s="100">
        <v>2024</v>
      </c>
      <c r="U16" s="100"/>
      <c r="W16" s="79"/>
    </row>
    <row r="17" spans="1:23" ht="15" customHeight="1" x14ac:dyDescent="0.2">
      <c r="A17" s="78"/>
      <c r="P17" s="6"/>
      <c r="Q17" s="92">
        <v>14</v>
      </c>
      <c r="R17" s="93"/>
      <c r="S17" s="7"/>
      <c r="T17" s="4"/>
      <c r="U17" s="4"/>
      <c r="W17" s="79"/>
    </row>
    <row r="18" spans="1:23" ht="17.25" customHeight="1" x14ac:dyDescent="0.2">
      <c r="A18" s="78"/>
      <c r="C18" s="96" t="s">
        <v>19</v>
      </c>
      <c r="D18" s="96"/>
      <c r="E18" s="84" t="s">
        <v>84</v>
      </c>
      <c r="F18" s="84"/>
      <c r="G18" s="84"/>
      <c r="H18" s="84"/>
      <c r="I18" s="84"/>
      <c r="J18" s="84"/>
      <c r="K18" s="84"/>
      <c r="L18" s="84"/>
      <c r="M18" s="31" t="s">
        <v>9</v>
      </c>
      <c r="N18" s="84" t="str">
        <f>+VLOOKUP(Q16,'1st class data'!B4:D1048576,3,0)</f>
        <v>krishna</v>
      </c>
      <c r="O18" s="84"/>
      <c r="P18" s="84"/>
      <c r="Q18" s="84"/>
      <c r="R18" s="84"/>
      <c r="S18" s="84"/>
      <c r="T18" s="84"/>
      <c r="U18" s="84"/>
      <c r="W18" s="79"/>
    </row>
    <row r="19" spans="1:23" ht="17.25" customHeight="1" x14ac:dyDescent="0.2">
      <c r="A19" s="78"/>
      <c r="C19" s="10" t="s">
        <v>18</v>
      </c>
      <c r="D19" s="32"/>
      <c r="E19" s="54">
        <f>+VLOOKUP(Q16,'1st class data'!B4:F1048576,5,0)</f>
        <v>105</v>
      </c>
      <c r="F19" s="85" t="s">
        <v>4</v>
      </c>
      <c r="G19" s="85"/>
      <c r="H19" s="85"/>
      <c r="I19" s="85"/>
      <c r="J19" s="85"/>
      <c r="K19" s="85"/>
      <c r="L19" s="85"/>
      <c r="M19" s="84" t="str">
        <f>+VLOOKUP(Q16,'1st class data'!B4:H1048576,7,0)</f>
        <v>Visakhapatnam</v>
      </c>
      <c r="N19" s="84"/>
      <c r="O19" s="84"/>
      <c r="P19" s="84"/>
      <c r="Q19" s="84"/>
      <c r="R19" s="104" t="s">
        <v>43</v>
      </c>
      <c r="S19" s="104"/>
      <c r="T19" s="104"/>
      <c r="U19" s="104"/>
      <c r="W19" s="79"/>
    </row>
    <row r="20" spans="1:23" ht="18.75" customHeight="1" x14ac:dyDescent="0.2">
      <c r="A20" s="78"/>
      <c r="C20" s="97" t="s">
        <v>69</v>
      </c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W20" s="79"/>
    </row>
    <row r="21" spans="1:23" ht="18.75" customHeight="1" x14ac:dyDescent="0.2">
      <c r="A21" s="78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W21" s="79"/>
    </row>
    <row r="22" spans="1:23" ht="18.75" customHeight="1" x14ac:dyDescent="0.2">
      <c r="A22" s="78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W22" s="79"/>
    </row>
    <row r="23" spans="1:23" ht="18.75" customHeight="1" x14ac:dyDescent="0.2">
      <c r="A23" s="78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W23" s="79"/>
    </row>
    <row r="24" spans="1:23" ht="18.75" customHeight="1" x14ac:dyDescent="0.2">
      <c r="A24" s="78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W24" s="79"/>
    </row>
    <row r="25" spans="1:23" ht="18.75" customHeight="1" x14ac:dyDescent="0.2">
      <c r="A25" s="78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79"/>
    </row>
    <row r="26" spans="1:23" ht="18.75" customHeight="1" x14ac:dyDescent="0.2">
      <c r="A26" s="78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W26" s="79"/>
    </row>
    <row r="27" spans="1:23" ht="14.5" customHeight="1" x14ac:dyDescent="0.2">
      <c r="A27" s="7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W27" s="79"/>
    </row>
    <row r="28" spans="1:23" ht="17" x14ac:dyDescent="0.2">
      <c r="A28" s="78"/>
      <c r="C28" s="10"/>
      <c r="D28" s="12"/>
      <c r="E28" s="13"/>
      <c r="F28" s="13"/>
      <c r="G28" s="13"/>
      <c r="H28" s="13"/>
      <c r="I28" s="10"/>
      <c r="J28" s="14"/>
      <c r="K28" s="10"/>
      <c r="L28" s="9"/>
      <c r="M28" s="15"/>
      <c r="N28" s="15"/>
      <c r="O28" s="15"/>
      <c r="P28" s="15"/>
      <c r="Q28" s="15"/>
      <c r="R28" s="15"/>
      <c r="S28" s="15"/>
      <c r="T28" s="15"/>
      <c r="W28" s="79"/>
    </row>
    <row r="29" spans="1:23" ht="17.25" customHeight="1" x14ac:dyDescent="0.2">
      <c r="A29" s="78"/>
      <c r="B29" s="94" t="s">
        <v>40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79"/>
    </row>
    <row r="30" spans="1:23" ht="17.25" customHeight="1" x14ac:dyDescent="0.2">
      <c r="A30" s="78"/>
      <c r="W30" s="79"/>
    </row>
    <row r="31" spans="1:23" ht="17.25" customHeight="1" x14ac:dyDescent="0.2">
      <c r="A31" s="78"/>
      <c r="W31" s="79"/>
    </row>
    <row r="32" spans="1:23" ht="17.25" customHeight="1" x14ac:dyDescent="0.2">
      <c r="A32" s="78"/>
      <c r="W32" s="79"/>
    </row>
    <row r="33" spans="1:23" ht="17.25" customHeight="1" x14ac:dyDescent="0.2">
      <c r="A33" s="78"/>
      <c r="W33" s="79"/>
    </row>
    <row r="34" spans="1:23" ht="17.25" customHeight="1" x14ac:dyDescent="0.2">
      <c r="A34" s="78"/>
      <c r="D34" s="80" t="s">
        <v>23</v>
      </c>
      <c r="E34" s="80"/>
      <c r="F34" s="80"/>
      <c r="G34" s="19"/>
      <c r="H34" s="9"/>
      <c r="I34" s="9"/>
      <c r="J34" s="9"/>
      <c r="K34" s="9"/>
      <c r="M34" s="9"/>
      <c r="N34" s="9"/>
      <c r="O34" s="9"/>
      <c r="P34" s="80" t="s">
        <v>17</v>
      </c>
      <c r="Q34" s="80"/>
      <c r="R34" s="80"/>
      <c r="S34" s="80"/>
      <c r="T34" s="19"/>
      <c r="W34" s="79"/>
    </row>
    <row r="35" spans="1:23" ht="17.25" customHeight="1" x14ac:dyDescent="0.2">
      <c r="A35" s="78"/>
      <c r="D35" s="80" t="s">
        <v>5</v>
      </c>
      <c r="E35" s="80"/>
      <c r="F35" s="80"/>
      <c r="G35" s="80"/>
      <c r="H35" s="9"/>
      <c r="I35" s="9"/>
      <c r="J35" s="9"/>
      <c r="K35" s="9"/>
      <c r="L35" s="9"/>
      <c r="M35" s="9"/>
      <c r="N35" s="9"/>
      <c r="O35" s="80" t="s">
        <v>5</v>
      </c>
      <c r="P35" s="80"/>
      <c r="Q35" s="80"/>
      <c r="R35" s="80"/>
      <c r="S35" s="80"/>
      <c r="T35" s="80"/>
      <c r="U35" s="9"/>
      <c r="W35" s="79"/>
    </row>
    <row r="36" spans="1:23" ht="17.25" customHeight="1" x14ac:dyDescent="0.2">
      <c r="A36" s="78"/>
      <c r="C36" s="19"/>
      <c r="D36" s="16"/>
      <c r="E36" s="19"/>
      <c r="F36" s="19"/>
      <c r="G36" s="19"/>
      <c r="H36" s="9"/>
      <c r="I36" s="9"/>
      <c r="J36" s="9"/>
      <c r="K36" s="9"/>
      <c r="L36" s="9"/>
      <c r="M36" s="9"/>
      <c r="N36" s="9"/>
      <c r="O36" s="9"/>
      <c r="P36" s="9"/>
      <c r="Q36" s="9"/>
      <c r="R36" s="19"/>
      <c r="S36" s="19"/>
      <c r="T36" s="19"/>
      <c r="U36" s="19"/>
      <c r="W36" s="79"/>
    </row>
    <row r="37" spans="1:23" ht="17.25" customHeight="1" x14ac:dyDescent="0.2">
      <c r="A37" s="78"/>
      <c r="I37" s="98" t="s">
        <v>24</v>
      </c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W37" s="79"/>
    </row>
    <row r="38" spans="1:23" ht="27" customHeight="1" x14ac:dyDescent="0.2">
      <c r="A38" s="78"/>
      <c r="E38" s="3"/>
      <c r="F38" s="3"/>
      <c r="I38" s="22" t="s">
        <v>10</v>
      </c>
      <c r="J38" s="29" t="s">
        <v>41</v>
      </c>
      <c r="K38" s="29"/>
      <c r="L38" s="29"/>
      <c r="M38" s="29"/>
      <c r="N38" s="29"/>
      <c r="O38" s="109">
        <f>+VLOOKUP(Q16,'1st class data'!B4:E1048576,4,0)</f>
        <v>30472</v>
      </c>
      <c r="P38" s="109"/>
      <c r="Q38" s="109"/>
      <c r="R38" s="109"/>
      <c r="S38" s="109"/>
      <c r="T38" s="109"/>
      <c r="U38" s="109"/>
      <c r="W38" s="79"/>
    </row>
    <row r="39" spans="1:23" ht="27" customHeight="1" x14ac:dyDescent="0.2">
      <c r="A39" s="78"/>
      <c r="D39" s="89"/>
      <c r="E39" s="89"/>
      <c r="F39" s="89"/>
      <c r="I39" s="22"/>
      <c r="J39" s="90"/>
      <c r="K39" s="90"/>
      <c r="L39" s="90"/>
      <c r="M39" s="90"/>
      <c r="N39" s="28"/>
      <c r="O39" s="110" t="str">
        <f>+VLOOKUP(Q16,'1st class data'!B4:G1048576,6,0)</f>
        <v>Vijayawda</v>
      </c>
      <c r="P39" s="110"/>
      <c r="Q39" s="110"/>
      <c r="R39" s="110"/>
      <c r="S39" s="110"/>
      <c r="T39" s="110"/>
      <c r="U39" s="110"/>
      <c r="W39" s="79"/>
    </row>
    <row r="40" spans="1:23" ht="20" customHeight="1" x14ac:dyDescent="0.2">
      <c r="A40" s="78"/>
      <c r="D40" s="89"/>
      <c r="E40" s="89"/>
      <c r="F40" s="89"/>
      <c r="I40" s="22" t="s">
        <v>11</v>
      </c>
      <c r="J40" s="88" t="s">
        <v>15</v>
      </c>
      <c r="K40" s="88"/>
      <c r="L40" s="88"/>
      <c r="M40" s="88"/>
      <c r="N40" s="101" t="str">
        <f>+VLOOKUP(Q16,'1st class data'!B4:I1048576,8,0)</f>
        <v>Vijayawada</v>
      </c>
      <c r="O40" s="102"/>
      <c r="P40" s="102"/>
      <c r="Q40" s="102"/>
      <c r="R40" s="102"/>
      <c r="S40" s="102"/>
      <c r="T40" s="102"/>
      <c r="U40" s="102"/>
      <c r="W40" s="79"/>
    </row>
    <row r="41" spans="1:23" ht="20" customHeight="1" x14ac:dyDescent="0.2">
      <c r="A41" s="78"/>
      <c r="D41" s="89"/>
      <c r="E41" s="89"/>
      <c r="F41" s="89"/>
      <c r="I41" s="23"/>
      <c r="J41" s="23"/>
      <c r="K41" s="23"/>
      <c r="L41" s="23"/>
      <c r="M41" s="23"/>
      <c r="N41" s="103"/>
      <c r="O41" s="103"/>
      <c r="P41" s="103"/>
      <c r="Q41" s="103"/>
      <c r="R41" s="103"/>
      <c r="S41" s="103"/>
      <c r="T41" s="103"/>
      <c r="U41" s="103"/>
      <c r="W41" s="79"/>
    </row>
    <row r="42" spans="1:23" ht="20" customHeight="1" x14ac:dyDescent="0.2">
      <c r="A42" s="78"/>
      <c r="D42" s="89"/>
      <c r="E42" s="89"/>
      <c r="F42" s="89"/>
      <c r="I42" s="24"/>
      <c r="J42" s="24"/>
      <c r="K42" s="24"/>
      <c r="L42" s="24"/>
      <c r="M42" s="24"/>
      <c r="N42" s="107" t="str">
        <f>+VLOOKUP(Q16,'1st class data'!B4:J1048576,9,0)</f>
        <v>Vijayawada</v>
      </c>
      <c r="O42" s="107"/>
      <c r="P42" s="107"/>
      <c r="Q42" s="107"/>
      <c r="R42" s="107"/>
      <c r="S42" s="107"/>
      <c r="T42" s="107"/>
      <c r="U42" s="107"/>
      <c r="W42" s="79"/>
    </row>
    <row r="43" spans="1:23" ht="20" customHeight="1" x14ac:dyDescent="0.2">
      <c r="A43" s="78"/>
      <c r="D43" s="89"/>
      <c r="E43" s="89"/>
      <c r="F43" s="89"/>
      <c r="I43" s="24"/>
      <c r="J43" s="24"/>
      <c r="K43" s="24"/>
      <c r="L43" s="24"/>
      <c r="M43" s="24"/>
      <c r="N43" s="108"/>
      <c r="O43" s="108"/>
      <c r="P43" s="108"/>
      <c r="Q43" s="108"/>
      <c r="R43" s="108"/>
      <c r="S43" s="108"/>
      <c r="T43" s="108"/>
      <c r="U43" s="108"/>
      <c r="W43" s="79"/>
    </row>
    <row r="44" spans="1:23" ht="20" customHeight="1" x14ac:dyDescent="0.2">
      <c r="A44" s="78"/>
      <c r="D44" s="89"/>
      <c r="E44" s="89"/>
      <c r="F44" s="89"/>
      <c r="I44" s="20" t="s">
        <v>12</v>
      </c>
      <c r="J44" s="9" t="s">
        <v>6</v>
      </c>
      <c r="K44" s="24"/>
      <c r="L44" s="24"/>
      <c r="M44" s="24"/>
      <c r="N44" s="24"/>
      <c r="O44" s="106" t="str">
        <f>+VLOOKUP(Q16,'1st class data'!B4:K1048576,10,0)</f>
        <v>INDIAN</v>
      </c>
      <c r="P44" s="106"/>
      <c r="Q44" s="106"/>
      <c r="R44" s="106"/>
      <c r="S44" s="106"/>
      <c r="T44" s="106"/>
      <c r="U44" s="106"/>
      <c r="W44" s="79"/>
    </row>
    <row r="45" spans="1:23" ht="20" customHeight="1" x14ac:dyDescent="0.2">
      <c r="A45" s="78"/>
      <c r="D45" s="89"/>
      <c r="E45" s="89"/>
      <c r="F45" s="89"/>
      <c r="G45" s="4"/>
      <c r="I45" s="20" t="s">
        <v>13</v>
      </c>
      <c r="J45" s="9" t="s">
        <v>16</v>
      </c>
      <c r="K45" s="9"/>
      <c r="N45" s="4"/>
      <c r="O45" s="105">
        <f>+VLOOKUP(Q16,'1st class data'!B4:M1048576,12,0)</f>
        <v>167</v>
      </c>
      <c r="P45" s="105"/>
      <c r="Q45" s="76" t="s">
        <v>42</v>
      </c>
      <c r="R45" s="76"/>
      <c r="S45" s="76"/>
      <c r="T45" s="76"/>
      <c r="U45" s="76"/>
      <c r="W45" s="79"/>
    </row>
    <row r="46" spans="1:23" ht="17.25" customHeight="1" x14ac:dyDescent="0.2">
      <c r="A46" s="78"/>
      <c r="E46" s="3"/>
      <c r="F46" s="3"/>
      <c r="G46" s="4"/>
      <c r="I46" s="20" t="s">
        <v>14</v>
      </c>
      <c r="J46" s="9" t="s">
        <v>7</v>
      </c>
      <c r="O46" s="30"/>
      <c r="P46" s="30"/>
      <c r="Q46" s="99"/>
      <c r="R46" s="99"/>
      <c r="S46" s="99"/>
      <c r="T46" s="86"/>
      <c r="U46" s="86"/>
      <c r="W46" s="79"/>
    </row>
    <row r="47" spans="1:23" ht="20" customHeight="1" x14ac:dyDescent="0.2">
      <c r="A47" s="78"/>
      <c r="D47" s="87"/>
      <c r="E47" s="87"/>
      <c r="F47" s="87"/>
      <c r="I47" s="25" t="s">
        <v>25</v>
      </c>
      <c r="J47" s="76" t="str">
        <f>+VLOOKUP(Q16,'1st class data'!B4:N1048576,13,0)</f>
        <v>A MOLE ON THE LEFT RING FINGER.</v>
      </c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W47" s="79"/>
    </row>
    <row r="48" spans="1:23" ht="20" customHeight="1" x14ac:dyDescent="0.2">
      <c r="A48" s="78"/>
      <c r="D48" s="87"/>
      <c r="E48" s="87"/>
      <c r="F48" s="87"/>
      <c r="I48" s="25" t="s">
        <v>26</v>
      </c>
      <c r="J48" s="76" t="str">
        <f>+VLOOKUP(Q16,'1st class data'!B4:O1048576,14,0)</f>
        <v>A MOLE ON THE RIGHT TORE.</v>
      </c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W48" s="79"/>
    </row>
    <row r="49" spans="1:26" ht="17.25" customHeight="1" x14ac:dyDescent="0.2">
      <c r="A49" s="78"/>
      <c r="W49" s="79"/>
    </row>
    <row r="50" spans="1:26" ht="17.25" customHeight="1" x14ac:dyDescent="0.2">
      <c r="A50" s="78"/>
      <c r="C50" s="77"/>
      <c r="D50" s="77"/>
      <c r="E50" s="77"/>
      <c r="F50" s="7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W50" s="79"/>
      <c r="Z50" s="17"/>
    </row>
    <row r="51" spans="1:26" ht="17.25" customHeight="1" x14ac:dyDescent="0.2">
      <c r="A51" s="7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W51" s="79"/>
    </row>
    <row r="52" spans="1:26" ht="17.25" customHeight="1" x14ac:dyDescent="0.2">
      <c r="A52" s="78"/>
      <c r="C52" s="74"/>
      <c r="D52" s="74"/>
      <c r="E52" s="74"/>
      <c r="F52" s="74"/>
      <c r="I52" s="20" t="s">
        <v>27</v>
      </c>
      <c r="J52" s="74" t="s">
        <v>8</v>
      </c>
      <c r="K52" s="74"/>
      <c r="L52" s="74"/>
      <c r="M52" s="74"/>
      <c r="N52" s="74"/>
      <c r="O52" s="73"/>
      <c r="P52" s="73"/>
      <c r="Q52" s="73"/>
      <c r="R52" s="73"/>
      <c r="S52" s="73"/>
      <c r="T52" s="73"/>
      <c r="U52" s="73"/>
      <c r="W52" s="79"/>
    </row>
    <row r="53" spans="1:26" ht="17.25" customHeight="1" x14ac:dyDescent="0.2">
      <c r="A53" s="78"/>
      <c r="O53" s="75"/>
      <c r="P53" s="75"/>
      <c r="Q53" s="75"/>
      <c r="R53" s="75"/>
      <c r="S53" s="75"/>
      <c r="T53" s="75"/>
      <c r="U53" s="75"/>
      <c r="W53" s="79"/>
    </row>
    <row r="54" spans="1:26" ht="17.25" customHeight="1" x14ac:dyDescent="0.2">
      <c r="A54" s="78"/>
      <c r="C54" s="73"/>
      <c r="D54" s="73"/>
      <c r="E54" s="73"/>
      <c r="F54" s="73"/>
      <c r="G54" s="73"/>
      <c r="J54" s="9"/>
      <c r="W54" s="79"/>
    </row>
    <row r="55" spans="1:26" ht="17.25" customHeight="1" x14ac:dyDescent="0.2">
      <c r="A55" s="78"/>
      <c r="C55" s="73"/>
      <c r="D55" s="73"/>
      <c r="E55" s="73"/>
      <c r="F55" s="73"/>
      <c r="G55" s="73"/>
      <c r="J55" s="9"/>
      <c r="O55" s="73"/>
      <c r="P55" s="73"/>
      <c r="Q55" s="73"/>
      <c r="R55" s="73"/>
      <c r="S55" s="73"/>
      <c r="T55" s="73"/>
      <c r="U55" s="73"/>
      <c r="W55" s="79"/>
    </row>
    <row r="56" spans="1:26" ht="17.25" customHeight="1" x14ac:dyDescent="0.2">
      <c r="A56" s="78"/>
      <c r="C56" s="73"/>
      <c r="D56" s="73"/>
      <c r="E56" s="73"/>
      <c r="F56" s="73"/>
      <c r="G56" s="73"/>
      <c r="I56" s="20"/>
      <c r="J56" s="74" t="s">
        <v>28</v>
      </c>
      <c r="K56" s="74"/>
      <c r="L56" s="74"/>
      <c r="M56" s="74"/>
      <c r="N56" s="74"/>
      <c r="O56" s="75"/>
      <c r="P56" s="75"/>
      <c r="Q56" s="75"/>
      <c r="R56" s="75"/>
      <c r="S56" s="75"/>
      <c r="T56" s="75"/>
      <c r="U56" s="75"/>
      <c r="W56" s="79"/>
    </row>
    <row r="57" spans="1:26" ht="17.25" customHeight="1" x14ac:dyDescent="0.2">
      <c r="A57" s="78"/>
      <c r="C57" s="4"/>
      <c r="D57" s="4"/>
      <c r="E57" s="4"/>
      <c r="F57" s="4"/>
      <c r="G57" s="4"/>
      <c r="I57" s="20"/>
      <c r="J57" s="11"/>
      <c r="K57" s="11"/>
      <c r="L57" s="11"/>
      <c r="M57" s="11"/>
      <c r="N57" s="11"/>
      <c r="O57" s="4"/>
      <c r="P57" s="4"/>
      <c r="Q57" s="4"/>
      <c r="R57" s="4"/>
      <c r="S57" s="4"/>
      <c r="T57" s="4"/>
      <c r="U57" s="4"/>
      <c r="W57" s="79"/>
    </row>
    <row r="58" spans="1:26" ht="17.25" customHeight="1" x14ac:dyDescent="0.2">
      <c r="A58" s="78"/>
      <c r="C58" s="4"/>
      <c r="D58" s="4"/>
      <c r="E58" s="4"/>
      <c r="F58" s="4"/>
      <c r="G58" s="4"/>
      <c r="I58" s="20"/>
      <c r="J58" s="11"/>
      <c r="K58" s="11"/>
      <c r="L58" s="11"/>
      <c r="M58" s="11"/>
      <c r="N58" s="11"/>
      <c r="O58" s="4"/>
      <c r="P58" s="4"/>
      <c r="Q58" s="4"/>
      <c r="R58" s="4"/>
      <c r="S58" s="4"/>
      <c r="T58" s="4"/>
      <c r="U58" s="4"/>
      <c r="W58" s="79"/>
    </row>
    <row r="59" spans="1:26" ht="15" customHeight="1" x14ac:dyDescent="0.2">
      <c r="A59" s="53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53"/>
    </row>
  </sheetData>
  <sheetProtection formatCells="0"/>
  <mergeCells count="52">
    <mergeCell ref="O45:P45"/>
    <mergeCell ref="Q45:U45"/>
    <mergeCell ref="O44:U44"/>
    <mergeCell ref="N42:U43"/>
    <mergeCell ref="O38:U38"/>
    <mergeCell ref="O39:U39"/>
    <mergeCell ref="T16:U16"/>
    <mergeCell ref="Q16:R16"/>
    <mergeCell ref="N40:U41"/>
    <mergeCell ref="R19:U19"/>
    <mergeCell ref="M19:Q19"/>
    <mergeCell ref="B2:V2"/>
    <mergeCell ref="B59:V59"/>
    <mergeCell ref="Q17:R17"/>
    <mergeCell ref="B29:V29"/>
    <mergeCell ref="C18:D18"/>
    <mergeCell ref="J48:U48"/>
    <mergeCell ref="O55:U55"/>
    <mergeCell ref="C20:U26"/>
    <mergeCell ref="D34:F34"/>
    <mergeCell ref="P34:S34"/>
    <mergeCell ref="D35:G35"/>
    <mergeCell ref="O35:T35"/>
    <mergeCell ref="I37:U37"/>
    <mergeCell ref="Q46:S46"/>
    <mergeCell ref="O53:U53"/>
    <mergeCell ref="C54:G54"/>
    <mergeCell ref="A3:A58"/>
    <mergeCell ref="W3:W58"/>
    <mergeCell ref="C12:U12"/>
    <mergeCell ref="C14:U14"/>
    <mergeCell ref="C15:U15"/>
    <mergeCell ref="C10:U10"/>
    <mergeCell ref="C11:U11"/>
    <mergeCell ref="C13:U13"/>
    <mergeCell ref="E18:L18"/>
    <mergeCell ref="N18:U18"/>
    <mergeCell ref="F19:L19"/>
    <mergeCell ref="T46:U46"/>
    <mergeCell ref="D47:F48"/>
    <mergeCell ref="J40:M40"/>
    <mergeCell ref="D39:F45"/>
    <mergeCell ref="J39:M39"/>
    <mergeCell ref="C55:G55"/>
    <mergeCell ref="C56:G56"/>
    <mergeCell ref="J56:N56"/>
    <mergeCell ref="O56:U56"/>
    <mergeCell ref="J47:U47"/>
    <mergeCell ref="C50:F50"/>
    <mergeCell ref="C52:F52"/>
    <mergeCell ref="J52:N52"/>
    <mergeCell ref="O52:U52"/>
  </mergeCells>
  <pageMargins left="0.39370078740157483" right="0.39370078740157483" top="0.39370078740157483" bottom="0.39370078740157483" header="0.23622047244094491" footer="0.19685039370078741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zoomScale="56" workbookViewId="0">
      <pane xSplit="4" topLeftCell="E1" activePane="topRight" state="frozen"/>
      <selection pane="topRight" activeCell="G12" sqref="G12"/>
    </sheetView>
  </sheetViews>
  <sheetFormatPr baseColWidth="10" defaultColWidth="9.1640625" defaultRowHeight="16" x14ac:dyDescent="0.2"/>
  <cols>
    <col min="1" max="1" width="7" style="39" bestFit="1" customWidth="1"/>
    <col min="2" max="2" width="15" style="39" customWidth="1"/>
    <col min="3" max="3" width="38.5" style="39" customWidth="1"/>
    <col min="4" max="4" width="33.1640625" style="39" customWidth="1"/>
    <col min="5" max="5" width="18.83203125" style="51" customWidth="1"/>
    <col min="6" max="6" width="10" style="52" bestFit="1" customWidth="1"/>
    <col min="7" max="7" width="29.1640625" style="39" customWidth="1"/>
    <col min="8" max="8" width="25.5" style="39" customWidth="1"/>
    <col min="9" max="9" width="51.83203125" style="39" customWidth="1"/>
    <col min="10" max="10" width="42.1640625" style="39" bestFit="1" customWidth="1"/>
    <col min="11" max="11" width="15" style="39" customWidth="1"/>
    <col min="12" max="12" width="22.5" style="39" bestFit="1" customWidth="1"/>
    <col min="13" max="13" width="8.6640625" style="39" bestFit="1" customWidth="1"/>
    <col min="14" max="15" width="29.5" style="39" bestFit="1" customWidth="1"/>
    <col min="16" max="16" width="14.33203125" style="39" bestFit="1" customWidth="1"/>
    <col min="17" max="17" width="13.5" style="39" customWidth="1"/>
    <col min="18" max="18" width="19.5" style="39" bestFit="1" customWidth="1"/>
    <col min="19" max="19" width="13.5" style="39" bestFit="1" customWidth="1"/>
    <col min="20" max="20" width="10.1640625" style="39" bestFit="1" customWidth="1"/>
    <col min="21" max="21" width="14.5" style="39" customWidth="1"/>
    <col min="22" max="22" width="17.1640625" style="39" bestFit="1" customWidth="1"/>
    <col min="23" max="23" width="16.6640625" style="39" bestFit="1" customWidth="1"/>
    <col min="24" max="24" width="19" style="56" customWidth="1"/>
    <col min="25" max="25" width="20" style="39" customWidth="1"/>
    <col min="26" max="26" width="27" style="57" customWidth="1"/>
    <col min="27" max="16384" width="9.1640625" style="39"/>
  </cols>
  <sheetData>
    <row r="1" spans="1:26" s="38" customFormat="1" ht="22.5" customHeight="1" x14ac:dyDescent="0.2">
      <c r="A1" s="34">
        <v>1</v>
      </c>
      <c r="B1" s="34">
        <v>2</v>
      </c>
      <c r="C1" s="34">
        <v>3</v>
      </c>
      <c r="D1" s="34">
        <v>4</v>
      </c>
      <c r="E1" s="35">
        <v>5</v>
      </c>
      <c r="F1" s="35">
        <v>6</v>
      </c>
      <c r="G1" s="34">
        <v>7</v>
      </c>
      <c r="H1" s="36">
        <v>8</v>
      </c>
      <c r="I1" s="66">
        <v>9</v>
      </c>
      <c r="J1" s="67"/>
      <c r="K1" s="37">
        <v>10</v>
      </c>
      <c r="L1" s="37">
        <v>11</v>
      </c>
      <c r="M1" s="37">
        <v>12</v>
      </c>
      <c r="N1" s="34">
        <v>13</v>
      </c>
      <c r="O1" s="34">
        <v>14</v>
      </c>
      <c r="P1" s="34">
        <v>15</v>
      </c>
      <c r="Q1" s="34">
        <v>16</v>
      </c>
      <c r="R1" s="34">
        <v>17</v>
      </c>
      <c r="S1" s="34">
        <v>18</v>
      </c>
      <c r="T1" s="34">
        <v>19</v>
      </c>
      <c r="U1" s="34">
        <v>20</v>
      </c>
      <c r="V1" s="34">
        <v>21</v>
      </c>
      <c r="W1" s="34">
        <v>22</v>
      </c>
      <c r="X1" s="40">
        <v>23</v>
      </c>
      <c r="Y1" s="34">
        <v>24</v>
      </c>
      <c r="Z1" s="34">
        <v>25</v>
      </c>
    </row>
    <row r="2" spans="1:26" ht="15" customHeight="1" x14ac:dyDescent="0.2">
      <c r="A2" s="59" t="s">
        <v>29</v>
      </c>
      <c r="B2" s="59" t="s">
        <v>30</v>
      </c>
      <c r="C2" s="59" t="s">
        <v>31</v>
      </c>
      <c r="D2" s="59" t="s">
        <v>32</v>
      </c>
      <c r="E2" s="65" t="s">
        <v>34</v>
      </c>
      <c r="F2" s="58" t="s">
        <v>35</v>
      </c>
      <c r="G2" s="59" t="s">
        <v>36</v>
      </c>
      <c r="H2" s="60" t="s">
        <v>68</v>
      </c>
      <c r="I2" s="62" t="s">
        <v>44</v>
      </c>
      <c r="J2" s="62"/>
      <c r="K2" s="63" t="s">
        <v>37</v>
      </c>
      <c r="L2" s="63" t="s">
        <v>48</v>
      </c>
      <c r="M2" s="63" t="s">
        <v>50</v>
      </c>
      <c r="N2" s="59" t="s">
        <v>38</v>
      </c>
      <c r="O2" s="59" t="s">
        <v>39</v>
      </c>
      <c r="P2" s="68" t="s">
        <v>33</v>
      </c>
      <c r="Q2" s="70" t="s">
        <v>53</v>
      </c>
      <c r="R2" s="71" t="s">
        <v>54</v>
      </c>
      <c r="S2" s="72" t="s">
        <v>55</v>
      </c>
      <c r="T2" s="70" t="s">
        <v>56</v>
      </c>
      <c r="U2" s="70" t="s">
        <v>57</v>
      </c>
      <c r="V2" s="68" t="s">
        <v>58</v>
      </c>
      <c r="W2" s="70" t="s">
        <v>59</v>
      </c>
      <c r="X2" s="70" t="s">
        <v>60</v>
      </c>
      <c r="Y2" s="70" t="s">
        <v>61</v>
      </c>
      <c r="Z2" s="59" t="s">
        <v>62</v>
      </c>
    </row>
    <row r="3" spans="1:26" s="41" customFormat="1" ht="32.25" customHeight="1" x14ac:dyDescent="0.2">
      <c r="A3" s="59"/>
      <c r="B3" s="59"/>
      <c r="C3" s="59"/>
      <c r="D3" s="59"/>
      <c r="E3" s="65"/>
      <c r="F3" s="58"/>
      <c r="G3" s="59"/>
      <c r="H3" s="61"/>
      <c r="I3" s="34" t="s">
        <v>45</v>
      </c>
      <c r="J3" s="40" t="s">
        <v>46</v>
      </c>
      <c r="K3" s="64"/>
      <c r="L3" s="64"/>
      <c r="M3" s="64"/>
      <c r="N3" s="59"/>
      <c r="O3" s="59"/>
      <c r="P3" s="69"/>
      <c r="Q3" s="70"/>
      <c r="R3" s="71"/>
      <c r="S3" s="72"/>
      <c r="T3" s="70"/>
      <c r="U3" s="70"/>
      <c r="V3" s="69"/>
      <c r="W3" s="70"/>
      <c r="X3" s="70"/>
      <c r="Y3" s="70"/>
      <c r="Z3" s="59"/>
    </row>
    <row r="4" spans="1:26" ht="40" customHeight="1" x14ac:dyDescent="0.2">
      <c r="A4" s="42">
        <v>1</v>
      </c>
      <c r="B4" s="43">
        <v>1</v>
      </c>
      <c r="C4" s="43" t="s">
        <v>77</v>
      </c>
      <c r="D4" s="43" t="s">
        <v>81</v>
      </c>
      <c r="E4" s="44">
        <v>25048</v>
      </c>
      <c r="F4" s="45">
        <v>58</v>
      </c>
      <c r="G4" s="43" t="s">
        <v>73</v>
      </c>
      <c r="H4" s="43" t="s">
        <v>73</v>
      </c>
      <c r="I4" s="43" t="s">
        <v>73</v>
      </c>
      <c r="J4" s="43" t="s">
        <v>73</v>
      </c>
      <c r="K4" s="43" t="s">
        <v>47</v>
      </c>
      <c r="L4" s="43" t="s">
        <v>49</v>
      </c>
      <c r="M4" s="43">
        <v>158</v>
      </c>
      <c r="N4" s="46" t="s">
        <v>71</v>
      </c>
      <c r="O4" s="46" t="s">
        <v>51</v>
      </c>
      <c r="P4" s="47">
        <v>123456789</v>
      </c>
      <c r="Q4" s="43" t="s">
        <v>63</v>
      </c>
      <c r="R4" s="48">
        <v>41414748292020</v>
      </c>
      <c r="S4" s="49">
        <v>44264</v>
      </c>
      <c r="T4" s="43">
        <v>500</v>
      </c>
      <c r="U4" s="43" t="s">
        <v>64</v>
      </c>
      <c r="V4" s="43" t="s">
        <v>65</v>
      </c>
      <c r="W4" s="43" t="s">
        <v>66</v>
      </c>
      <c r="X4" s="55"/>
      <c r="Y4" s="33" t="s">
        <v>72</v>
      </c>
      <c r="Z4" s="42"/>
    </row>
    <row r="5" spans="1:26" ht="40" customHeight="1" x14ac:dyDescent="0.2">
      <c r="A5" s="42">
        <v>2</v>
      </c>
      <c r="B5" s="43">
        <v>9</v>
      </c>
      <c r="C5" s="43" t="s">
        <v>78</v>
      </c>
      <c r="D5" s="43" t="s">
        <v>80</v>
      </c>
      <c r="E5" s="44">
        <v>30472</v>
      </c>
      <c r="F5" s="45">
        <v>43</v>
      </c>
      <c r="G5" s="43" t="s">
        <v>74</v>
      </c>
      <c r="H5" s="43" t="s">
        <v>74</v>
      </c>
      <c r="I5" s="43" t="s">
        <v>74</v>
      </c>
      <c r="J5" s="43" t="s">
        <v>74</v>
      </c>
      <c r="K5" s="43" t="s">
        <v>47</v>
      </c>
      <c r="L5" s="43" t="s">
        <v>49</v>
      </c>
      <c r="M5" s="43">
        <v>159</v>
      </c>
      <c r="N5" s="46" t="s">
        <v>70</v>
      </c>
      <c r="O5" s="46" t="s">
        <v>52</v>
      </c>
      <c r="P5" s="50">
        <v>987654321</v>
      </c>
      <c r="Q5" s="43" t="s">
        <v>63</v>
      </c>
      <c r="R5" s="48">
        <v>41415825672020</v>
      </c>
      <c r="S5" s="49">
        <v>44472</v>
      </c>
      <c r="T5" s="43">
        <v>500</v>
      </c>
      <c r="U5" s="43" t="s">
        <v>64</v>
      </c>
      <c r="V5" s="43" t="s">
        <v>67</v>
      </c>
      <c r="W5" s="43" t="s">
        <v>66</v>
      </c>
      <c r="X5" s="55"/>
      <c r="Y5" s="33" t="s">
        <v>72</v>
      </c>
      <c r="Z5" s="42"/>
    </row>
    <row r="6" spans="1:26" ht="40" customHeight="1" x14ac:dyDescent="0.2">
      <c r="A6" s="42">
        <v>3</v>
      </c>
      <c r="B6" s="43">
        <v>25</v>
      </c>
      <c r="C6" s="43" t="s">
        <v>79</v>
      </c>
      <c r="D6" s="43" t="s">
        <v>77</v>
      </c>
      <c r="E6" s="44">
        <v>25048</v>
      </c>
      <c r="F6" s="45">
        <v>45</v>
      </c>
      <c r="G6" s="43" t="s">
        <v>75</v>
      </c>
      <c r="H6" s="43" t="s">
        <v>75</v>
      </c>
      <c r="I6" s="43" t="s">
        <v>75</v>
      </c>
      <c r="J6" s="43" t="s">
        <v>75</v>
      </c>
      <c r="K6" s="43" t="s">
        <v>47</v>
      </c>
      <c r="L6" s="43" t="s">
        <v>49</v>
      </c>
      <c r="M6" s="43">
        <v>160</v>
      </c>
      <c r="N6" s="46" t="s">
        <v>71</v>
      </c>
      <c r="O6" s="46" t="s">
        <v>51</v>
      </c>
      <c r="P6" s="50"/>
      <c r="Q6" s="43"/>
      <c r="R6" s="48"/>
      <c r="S6" s="49"/>
      <c r="T6" s="43"/>
      <c r="U6" s="43"/>
      <c r="V6" s="43"/>
      <c r="W6" s="43"/>
      <c r="X6" s="55"/>
      <c r="Y6" s="33"/>
      <c r="Z6" s="42"/>
    </row>
    <row r="7" spans="1:26" ht="40" customHeight="1" x14ac:dyDescent="0.2">
      <c r="A7" s="42">
        <v>4</v>
      </c>
      <c r="B7" s="43">
        <v>62</v>
      </c>
      <c r="C7" s="43" t="s">
        <v>80</v>
      </c>
      <c r="D7" s="43" t="s">
        <v>78</v>
      </c>
      <c r="E7" s="44">
        <v>30472</v>
      </c>
      <c r="F7" s="45">
        <v>35</v>
      </c>
      <c r="G7" s="43" t="s">
        <v>76</v>
      </c>
      <c r="H7" s="43" t="s">
        <v>76</v>
      </c>
      <c r="I7" s="43" t="s">
        <v>76</v>
      </c>
      <c r="J7" s="43" t="s">
        <v>76</v>
      </c>
      <c r="K7" s="43" t="s">
        <v>47</v>
      </c>
      <c r="L7" s="43" t="s">
        <v>49</v>
      </c>
      <c r="M7" s="43">
        <v>161</v>
      </c>
      <c r="N7" s="46" t="s">
        <v>70</v>
      </c>
      <c r="O7" s="46" t="s">
        <v>52</v>
      </c>
      <c r="P7" s="50"/>
      <c r="Q7" s="43"/>
      <c r="R7" s="48"/>
      <c r="S7" s="49"/>
      <c r="T7" s="43"/>
      <c r="U7" s="43"/>
      <c r="V7" s="43"/>
      <c r="W7" s="43"/>
      <c r="X7" s="55"/>
      <c r="Y7" s="33"/>
      <c r="Z7" s="42"/>
    </row>
    <row r="8" spans="1:26" ht="40" customHeight="1" x14ac:dyDescent="0.2">
      <c r="A8" s="42">
        <v>5</v>
      </c>
      <c r="B8" s="43">
        <v>70</v>
      </c>
      <c r="C8" s="43" t="s">
        <v>81</v>
      </c>
      <c r="D8" s="43" t="s">
        <v>83</v>
      </c>
      <c r="E8" s="44">
        <v>25048</v>
      </c>
      <c r="F8" s="45">
        <v>65</v>
      </c>
      <c r="G8" s="43" t="s">
        <v>73</v>
      </c>
      <c r="H8" s="43" t="s">
        <v>73</v>
      </c>
      <c r="I8" s="43" t="s">
        <v>73</v>
      </c>
      <c r="J8" s="43" t="s">
        <v>73</v>
      </c>
      <c r="K8" s="43" t="s">
        <v>47</v>
      </c>
      <c r="L8" s="43" t="s">
        <v>49</v>
      </c>
      <c r="M8" s="43">
        <v>162</v>
      </c>
      <c r="N8" s="46" t="s">
        <v>71</v>
      </c>
      <c r="O8" s="46" t="s">
        <v>51</v>
      </c>
      <c r="P8" s="50"/>
      <c r="Q8" s="43"/>
      <c r="R8" s="48"/>
      <c r="S8" s="49"/>
      <c r="T8" s="43"/>
      <c r="U8" s="43"/>
      <c r="V8" s="43"/>
      <c r="W8" s="43"/>
      <c r="X8" s="55"/>
      <c r="Y8" s="33"/>
      <c r="Z8" s="42"/>
    </row>
    <row r="9" spans="1:26" ht="40" customHeight="1" x14ac:dyDescent="0.2">
      <c r="A9" s="42">
        <v>6</v>
      </c>
      <c r="B9" s="43">
        <v>79</v>
      </c>
      <c r="C9" s="43" t="s">
        <v>82</v>
      </c>
      <c r="D9" s="43" t="s">
        <v>84</v>
      </c>
      <c r="E9" s="44">
        <v>30472</v>
      </c>
      <c r="F9" s="45">
        <v>25</v>
      </c>
      <c r="G9" s="43" t="s">
        <v>74</v>
      </c>
      <c r="H9" s="43" t="s">
        <v>74</v>
      </c>
      <c r="I9" s="43" t="s">
        <v>74</v>
      </c>
      <c r="J9" s="43" t="s">
        <v>74</v>
      </c>
      <c r="K9" s="43" t="s">
        <v>47</v>
      </c>
      <c r="L9" s="43" t="s">
        <v>49</v>
      </c>
      <c r="M9" s="43">
        <v>163</v>
      </c>
      <c r="N9" s="46" t="s">
        <v>70</v>
      </c>
      <c r="O9" s="46" t="s">
        <v>52</v>
      </c>
      <c r="P9" s="50"/>
      <c r="Q9" s="43"/>
      <c r="R9" s="48"/>
      <c r="S9" s="49"/>
      <c r="T9" s="43"/>
      <c r="U9" s="43"/>
      <c r="V9" s="43"/>
      <c r="W9" s="43"/>
      <c r="X9" s="55"/>
      <c r="Y9" s="33"/>
      <c r="Z9" s="42"/>
    </row>
    <row r="10" spans="1:26" ht="40" customHeight="1" x14ac:dyDescent="0.2">
      <c r="A10" s="42">
        <v>7</v>
      </c>
      <c r="B10" s="43">
        <v>82</v>
      </c>
      <c r="C10" s="43" t="s">
        <v>83</v>
      </c>
      <c r="D10" s="43" t="s">
        <v>77</v>
      </c>
      <c r="E10" s="44">
        <v>25048</v>
      </c>
      <c r="F10" s="45">
        <v>75</v>
      </c>
      <c r="G10" s="43" t="s">
        <v>75</v>
      </c>
      <c r="H10" s="43" t="s">
        <v>75</v>
      </c>
      <c r="I10" s="43" t="s">
        <v>75</v>
      </c>
      <c r="J10" s="43" t="s">
        <v>75</v>
      </c>
      <c r="K10" s="43" t="s">
        <v>47</v>
      </c>
      <c r="L10" s="43" t="s">
        <v>49</v>
      </c>
      <c r="M10" s="43">
        <v>164</v>
      </c>
      <c r="N10" s="46" t="s">
        <v>71</v>
      </c>
      <c r="O10" s="46" t="s">
        <v>51</v>
      </c>
      <c r="P10" s="50"/>
      <c r="Q10" s="43"/>
      <c r="R10" s="48"/>
      <c r="S10" s="49"/>
      <c r="T10" s="43"/>
      <c r="U10" s="43"/>
      <c r="V10" s="43"/>
      <c r="W10" s="43"/>
      <c r="X10" s="55"/>
      <c r="Y10" s="33"/>
      <c r="Z10" s="42"/>
    </row>
    <row r="11" spans="1:26" ht="40" customHeight="1" x14ac:dyDescent="0.2">
      <c r="A11" s="42">
        <v>8</v>
      </c>
      <c r="B11" s="43">
        <v>89</v>
      </c>
      <c r="C11" s="43" t="s">
        <v>77</v>
      </c>
      <c r="D11" s="43" t="s">
        <v>78</v>
      </c>
      <c r="E11" s="44">
        <v>30472</v>
      </c>
      <c r="F11" s="45">
        <v>95</v>
      </c>
      <c r="G11" s="43" t="s">
        <v>76</v>
      </c>
      <c r="H11" s="43" t="s">
        <v>76</v>
      </c>
      <c r="I11" s="43" t="s">
        <v>76</v>
      </c>
      <c r="J11" s="43" t="s">
        <v>76</v>
      </c>
      <c r="K11" s="43" t="s">
        <v>47</v>
      </c>
      <c r="L11" s="43" t="s">
        <v>49</v>
      </c>
      <c r="M11" s="43">
        <v>165</v>
      </c>
      <c r="N11" s="46" t="s">
        <v>70</v>
      </c>
      <c r="O11" s="46" t="s">
        <v>52</v>
      </c>
      <c r="P11" s="50"/>
      <c r="Q11" s="43"/>
      <c r="R11" s="48"/>
      <c r="S11" s="49"/>
      <c r="T11" s="43"/>
      <c r="U11" s="43"/>
      <c r="V11" s="43"/>
      <c r="W11" s="43"/>
      <c r="X11" s="55"/>
      <c r="Y11" s="33"/>
      <c r="Z11" s="42"/>
    </row>
    <row r="12" spans="1:26" ht="40" customHeight="1" x14ac:dyDescent="0.2">
      <c r="A12" s="42">
        <v>9</v>
      </c>
      <c r="B12" s="43">
        <v>99</v>
      </c>
      <c r="C12" s="43" t="s">
        <v>78</v>
      </c>
      <c r="D12" s="43" t="s">
        <v>83</v>
      </c>
      <c r="E12" s="44">
        <v>25048</v>
      </c>
      <c r="F12" s="45">
        <v>100</v>
      </c>
      <c r="G12" s="43" t="s">
        <v>76</v>
      </c>
      <c r="H12" s="43" t="s">
        <v>74</v>
      </c>
      <c r="I12" s="43" t="s">
        <v>73</v>
      </c>
      <c r="J12" s="43" t="s">
        <v>73</v>
      </c>
      <c r="K12" s="43" t="s">
        <v>47</v>
      </c>
      <c r="L12" s="43" t="s">
        <v>49</v>
      </c>
      <c r="M12" s="43">
        <v>166</v>
      </c>
      <c r="N12" s="46" t="s">
        <v>71</v>
      </c>
      <c r="O12" s="46" t="s">
        <v>51</v>
      </c>
      <c r="P12" s="50"/>
      <c r="Q12" s="43"/>
      <c r="R12" s="48"/>
      <c r="S12" s="49"/>
      <c r="T12" s="43"/>
      <c r="U12" s="43"/>
      <c r="V12" s="43"/>
      <c r="W12" s="43"/>
      <c r="X12" s="55"/>
      <c r="Y12" s="33"/>
      <c r="Z12" s="42"/>
    </row>
    <row r="13" spans="1:26" ht="40" customHeight="1" x14ac:dyDescent="0.2">
      <c r="A13" s="42">
        <v>10</v>
      </c>
      <c r="B13" s="43">
        <v>100</v>
      </c>
      <c r="C13" s="43" t="s">
        <v>79</v>
      </c>
      <c r="D13" s="43" t="s">
        <v>84</v>
      </c>
      <c r="E13" s="44">
        <v>30472</v>
      </c>
      <c r="F13" s="45">
        <v>105</v>
      </c>
      <c r="G13" s="43" t="s">
        <v>74</v>
      </c>
      <c r="H13" s="43" t="s">
        <v>75</v>
      </c>
      <c r="I13" s="43" t="s">
        <v>85</v>
      </c>
      <c r="J13" s="43" t="s">
        <v>85</v>
      </c>
      <c r="K13" s="43" t="s">
        <v>47</v>
      </c>
      <c r="L13" s="43" t="s">
        <v>49</v>
      </c>
      <c r="M13" s="43">
        <v>167</v>
      </c>
      <c r="N13" s="46" t="s">
        <v>70</v>
      </c>
      <c r="O13" s="46" t="s">
        <v>52</v>
      </c>
      <c r="P13" s="50"/>
      <c r="Q13" s="43"/>
      <c r="R13" s="48"/>
      <c r="S13" s="49"/>
      <c r="T13" s="43"/>
      <c r="U13" s="43"/>
      <c r="V13" s="43"/>
      <c r="W13" s="43"/>
      <c r="X13" s="55"/>
      <c r="Y13" s="33"/>
      <c r="Z13" s="42"/>
    </row>
  </sheetData>
  <autoFilter ref="A1:Z13" xr:uid="{00000000-0009-0000-0000-000001000000}">
    <filterColumn colId="8" showButton="0"/>
  </autoFilter>
  <mergeCells count="26">
    <mergeCell ref="O2:O3"/>
    <mergeCell ref="I1:J1"/>
    <mergeCell ref="Z2:Z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2:A3"/>
    <mergeCell ref="B2:B3"/>
    <mergeCell ref="C2:C3"/>
    <mergeCell ref="D2:D3"/>
    <mergeCell ref="E2:E3"/>
    <mergeCell ref="F2:F3"/>
    <mergeCell ref="G2:G3"/>
    <mergeCell ref="H2:H3"/>
    <mergeCell ref="I2:J2"/>
    <mergeCell ref="N2:N3"/>
    <mergeCell ref="K2:K3"/>
    <mergeCell ref="L2:L3"/>
    <mergeCell ref="M2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Class certificate</vt:lpstr>
      <vt:lpstr>1st class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2026-05-18T18:44:54Z</dcterms:modified>
</cp:coreProperties>
</file>